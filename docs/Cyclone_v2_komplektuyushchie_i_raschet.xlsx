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егенда" sheetId="1" state="visible" r:id="rId3"/>
    <sheet name="Комплектующие" sheetId="2" state="visible" r:id="rId4"/>
    <sheet name="Расчёт" sheetId="3" state="visible" r:id="rId5"/>
    <sheet name="Итоги" sheetId="4" state="visible" r:id="rId6"/>
  </sheets>
  <definedNames>
    <definedName function="false" hidden="true" localSheetId="1" name="_xlnm._FilterDatabase" vbProcedure="false">Комплектующие!$A$1:$K$35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<sst xmlns="http://schemas.openxmlformats.org/spreadsheetml/2006/main" count="403" uniqueCount="283">
  <si>
    <t xml:space="preserve">Робот-уборщик «Циклон» v2 — комплектующие и расчёт</t>
  </si>
  <si>
    <t xml:space="preserve">Прототип для вводной/итоговой защиты: 4 ведущих колеса, отвал 45 см под 30°, ESP32 + Raspberry Pi</t>
  </si>
  <si>
    <t xml:space="preserve">•  Листы: «Комплектующие» (закупка), «Расчёт» (тяга, моторы, энергия — меняйте жёлтые ячейки), «Итоги» (сумма и бюджет).</t>
  </si>
  <si>
    <t xml:space="preserve">•  Жёлтые ячейки с синим текстом — исходные данные: цены, количества, параметры расчёта. Остальное считается формулами.</t>
  </si>
  <si>
    <t xml:space="preserve">•  Цены: жёлтые — найдены в российских магазинах 14.10.2026 (источник в последней колонке); оранжевые — оценка без проверки, уточнить при закупке. Розница; на AliExpress обычно дешевле, но доставка 2–4 недели.</t>
  </si>
  <si>
    <t xml:space="preserve">•  Этап P0 — нужно для работающего прототипа; P1 — по желанию/если останется бюджет.</t>
  </si>
  <si>
    <t xml:space="preserve">•  Колонка «Что изменилось» показывает отличие от исходного варианта (v1) и причину.</t>
  </si>
  <si>
    <t xml:space="preserve">•  Расчёт — оценочный: коэффициенты трения и плотность снега надо проверить опытом с динамометром (см. документ).</t>
  </si>
  <si>
    <t xml:space="preserve">№</t>
  </si>
  <si>
    <t xml:space="preserve">Группа</t>
  </si>
  <si>
    <t xml:space="preserve">Наименование</t>
  </si>
  <si>
    <t xml:space="preserve">Тип / пример</t>
  </si>
  <si>
    <t xml:space="preserve">Кол.</t>
  </si>
  <si>
    <t xml:space="preserve">Этап</t>
  </si>
  <si>
    <t xml:space="preserve">Назначение</t>
  </si>
  <si>
    <t xml:space="preserve">Что изменилось (v1 → v2)</t>
  </si>
  <si>
    <t xml:space="preserve">Цена за шт., ₽</t>
  </si>
  <si>
    <t xml:space="preserve">Сумма, ₽</t>
  </si>
  <si>
    <t xml:space="preserve">Источник цены</t>
  </si>
  <si>
    <t xml:space="preserve">A. Управление</t>
  </si>
  <si>
    <t xml:space="preserve">Микроконтроллер</t>
  </si>
  <si>
    <t xml:space="preserve">ESP32 DevKit V1 (30 pin)</t>
  </si>
  <si>
    <t xml:space="preserve">P0</t>
  </si>
  <si>
    <t xml:space="preserve">Моторы, энкодеры, датчики, безопасность (+1 запасной)</t>
  </si>
  <si>
    <t xml:space="preserve">без изменений</t>
  </si>
  <si>
    <t xml:space="preserve">найдено 14.10.2026: ardu-shop.ru, ESP32 DevKit V1 DOIT 30 pins</t>
  </si>
  <si>
    <t xml:space="preserve">Одноплатный компьютер</t>
  </si>
  <si>
    <t xml:space="preserve">Raspberry Pi 4, 2–4 ГБ (или Pi 3B+/Zero 2 W)</t>
  </si>
  <si>
    <t xml:space="preserve">Метки ArUco, маршрут, веб-панель, бот</t>
  </si>
  <si>
    <t xml:space="preserve">из лаборатории ВИШ — в смету 0 ₽</t>
  </si>
  <si>
    <t xml:space="preserve">найдено 14.10.2026: из лаборатории ВИШ; купить — ≈5 000 ₽ по смете v1</t>
  </si>
  <si>
    <t xml:space="preserve">Карта памяти</t>
  </si>
  <si>
    <t xml:space="preserve">microSD 32 ГБ, класс A1</t>
  </si>
  <si>
    <t xml:space="preserve">Raspberry Pi OS + ПО</t>
  </si>
  <si>
    <t xml:space="preserve">добавлено</t>
  </si>
  <si>
    <t xml:space="preserve">ОЦЕНКА, проверить</t>
  </si>
  <si>
    <t xml:space="preserve">Камера</t>
  </si>
  <si>
    <t xml:space="preserve">Raspberry Pi Camera v2 (+шлейф 30–50 см) или USB-камера</t>
  </si>
  <si>
    <t xml:space="preserve">Метки ArUco у точек поворота</t>
  </si>
  <si>
    <t xml:space="preserve">назначение: метки вместо QR на стенах</t>
  </si>
  <si>
    <t xml:space="preserve">найдено 14.10.2026: roboshop.spb.ru, OV5647 для Raspberry Pi</t>
  </si>
  <si>
    <t xml:space="preserve">B. Привод</t>
  </si>
  <si>
    <t xml:space="preserve">Мотор-редуктор с энкодером</t>
  </si>
  <si>
    <t xml:space="preserve">JGB37-520, 12 В, 1:90…1:131 (≈ 60–80 об/мин)</t>
  </si>
  <si>
    <t xml:space="preserve">Полный привод 4×4, бортовой поворот</t>
  </si>
  <si>
    <t xml:space="preserve">было 2× JGA25-370 200 об/мин</t>
  </si>
  <si>
    <t xml:space="preserve">найдено 14.10.2026: robotclass.ru 1000 ₽; compacttool.ru 1160 ₽</t>
  </si>
  <si>
    <t xml:space="preserve">Кронштейн мотора</t>
  </si>
  <si>
    <t xml:space="preserve">Для JGB37 (L-образный)</t>
  </si>
  <si>
    <t xml:space="preserve">Крепление к раме</t>
  </si>
  <si>
    <t xml:space="preserve">Колесо с протектором + хаб</t>
  </si>
  <si>
    <t xml:space="preserve">85×38 мм, резина, посадка шестигранник 12 мм</t>
  </si>
  <si>
    <t xml:space="preserve">Сцепление на снегу</t>
  </si>
  <si>
    <t xml:space="preserve">все 4 колеса ведущие</t>
  </si>
  <si>
    <t xml:space="preserve">найдено 14.10.2026: robot-kit.ru, колесо 85×38 мм</t>
  </si>
  <si>
    <t xml:space="preserve">Переходник колеса на вал 6 мм</t>
  </si>
  <si>
    <t xml:space="preserve">Комплект из 2 шт. (под колесо 85×38 мм)</t>
  </si>
  <si>
    <t xml:space="preserve">Посадка колеса на вал JGB37</t>
  </si>
  <si>
    <t xml:space="preserve">найдено 14.10.2026: robot-kit.ru, 150 ₽ за 2 шт.</t>
  </si>
  <si>
    <t xml:space="preserve">Драйвер моторов</t>
  </si>
  <si>
    <t xml:space="preserve">IBT-2 (BTS7960, 43 А)</t>
  </si>
  <si>
    <t xml:space="preserve">Левый и правый борт (по 2 мотора параллельно)</t>
  </si>
  <si>
    <t xml:space="preserve">было TB6612FNG (1,2 А — мало)</t>
  </si>
  <si>
    <t xml:space="preserve">найдено 14.10.2026: compacttool.ru, IBT-2 BTS7960</t>
  </si>
  <si>
    <t xml:space="preserve">Буфер уровней 3,3 → 5 В</t>
  </si>
  <si>
    <t xml:space="preserve">74HCT245 (DIP) или модуль на 74HCT</t>
  </si>
  <si>
    <t xml:space="preserve">Входы IBT-2 рассчитаны на 5 В</t>
  </si>
  <si>
    <t xml:space="preserve">C. Датчики</t>
  </si>
  <si>
    <t xml:space="preserve">Гироскоп</t>
  </si>
  <si>
    <t xml:space="preserve">MPU6050 (GY-521)</t>
  </si>
  <si>
    <t xml:space="preserve">Удержание курса, повороты</t>
  </si>
  <si>
    <t xml:space="preserve">был опционален — стал обязательным</t>
  </si>
  <si>
    <t xml:space="preserve">Ультразвуковой дальномер</t>
  </si>
  <si>
    <t xml:space="preserve">HC-SR04</t>
  </si>
  <si>
    <t xml:space="preserve">3 вперёд (Л/Ц/П) + 1 запасной</t>
  </si>
  <si>
    <t xml:space="preserve">на стойке выше отвала</t>
  </si>
  <si>
    <t xml:space="preserve">Бампер</t>
  </si>
  <si>
    <t xml:space="preserve">Микропереключатель с рычагом</t>
  </si>
  <si>
    <t xml:space="preserve">Касание — немедленная остановка</t>
  </si>
  <si>
    <t xml:space="preserve">Резисторы и конденсаторы</t>
  </si>
  <si>
    <t xml:space="preserve">10к, 20к, 100к, 22к; 100 нФ; 1000 мкФ 16 В</t>
  </si>
  <si>
    <t xml:space="preserve">Делители ECHO и АКБ, подтяжки энкодеров, фильтр серво</t>
  </si>
  <si>
    <t xml:space="preserve">GPS-модуль</t>
  </si>
  <si>
    <t xml:space="preserve">NEO-6M</t>
  </si>
  <si>
    <t xml:space="preserve">P1</t>
  </si>
  <si>
    <t xml:space="preserve">Только показать «где робот» в панели</t>
  </si>
  <si>
    <t xml:space="preserve">был основной навигацией</t>
  </si>
  <si>
    <t xml:space="preserve">D. Отвал</t>
  </si>
  <si>
    <t xml:space="preserve">Лист для отвала</t>
  </si>
  <si>
    <t xml:space="preserve">Алюминий 1,5–2 мм, 450×150 мм (или PETG, стенка 3 мм)</t>
  </si>
  <si>
    <t xml:space="preserve">Отвал 45 см под углом 30°</t>
  </si>
  <si>
    <t xml:space="preserve">высота 100 → 150 мм</t>
  </si>
  <si>
    <t xml:space="preserve">Сервопривод</t>
  </si>
  <si>
    <t xml:space="preserve">MG996R (металлические шестерни)</t>
  </si>
  <si>
    <t xml:space="preserve">Подъём отвала (+1 запасной)</t>
  </si>
  <si>
    <t xml:space="preserve">было SG90 — слишком слабый</t>
  </si>
  <si>
    <t xml:space="preserve">найдено 14.10.2026: arduino54.ru, MG996R металл. шестерни</t>
  </si>
  <si>
    <t xml:space="preserve">Ось и рычаг</t>
  </si>
  <si>
    <t xml:space="preserve">Пруток Ø6, втулки/петли, печатный рычаг</t>
  </si>
  <si>
    <t xml:space="preserve">Качание отвала</t>
  </si>
  <si>
    <t xml:space="preserve">E. Питание</t>
  </si>
  <si>
    <t xml:space="preserve">Аккумулятор</t>
  </si>
  <si>
    <t xml:space="preserve">18650 3000–3500 мА·ч, ток ≥ 8 А</t>
  </si>
  <si>
    <t xml:space="preserve">Сборка 4S1P, 14,4 В</t>
  </si>
  <si>
    <t xml:space="preserve">найдено 14.10.2026: amperkot.ru Samsung 30Q 600 ₽; LG HG2 от 390 ₽ (navipoisk.ru)</t>
  </si>
  <si>
    <t xml:space="preserve">Держатель/сборка</t>
  </si>
  <si>
    <t xml:space="preserve">Кассета 4×18650 или сварка никелевой лентой</t>
  </si>
  <si>
    <t xml:space="preserve">Плата защиты</t>
  </si>
  <si>
    <t xml:space="preserve">BMS 4S ≥ 10 А с балансировкой</t>
  </si>
  <si>
    <t xml:space="preserve">Защита от переразряда/перезаряда</t>
  </si>
  <si>
    <t xml:space="preserve">найдено 14.10.2026: smdx.ru, BMS 4S 20A</t>
  </si>
  <si>
    <t xml:space="preserve">Зарядное устройство</t>
  </si>
  <si>
    <t xml:space="preserve">16,8 В 2 А для 4S (через BMS)</t>
  </si>
  <si>
    <t xml:space="preserve">Заряжать только в тепле (&gt; 0 °C)</t>
  </si>
  <si>
    <t xml:space="preserve">Понижающий DC-DC 5 В</t>
  </si>
  <si>
    <t xml:space="preserve">5,1 В / 5 А (XL4015 или готовый 5 В 5 А)</t>
  </si>
  <si>
    <t xml:space="preserve">Raspberry Pi + ESP32 + датчики</t>
  </si>
  <si>
    <t xml:space="preserve">было MP1584 (3 А) — мало для Pi 4</t>
  </si>
  <si>
    <t xml:space="preserve">Понижающий DC-DC 6 В</t>
  </si>
  <si>
    <t xml:space="preserve">6 В / 3 А</t>
  </si>
  <si>
    <t xml:space="preserve">Отдельная шина сервопривода</t>
  </si>
  <si>
    <t xml:space="preserve">Предохранитель</t>
  </si>
  <si>
    <t xml:space="preserve">Автомобильный 7,5 А + держатель</t>
  </si>
  <si>
    <t xml:space="preserve">Защита проводки</t>
  </si>
  <si>
    <t xml:space="preserve">Выключатель</t>
  </si>
  <si>
    <t xml:space="preserve">Тумблер ≥ 10 А</t>
  </si>
  <si>
    <t xml:space="preserve">Главный выключатель</t>
  </si>
  <si>
    <t xml:space="preserve">Аварийная кнопка</t>
  </si>
  <si>
    <t xml:space="preserve">Грибок E-STOP, NC, ≥ 10 А</t>
  </si>
  <si>
    <t xml:space="preserve">Обесточивает моторы независимо от ПО</t>
  </si>
  <si>
    <t xml:space="preserve">F. Корпус и монтаж</t>
  </si>
  <si>
    <t xml:space="preserve">Рама</t>
  </si>
  <si>
    <t xml:space="preserve">Фанера 6–8 мм или профиль 2020 + уголки</t>
  </si>
  <si>
    <t xml:space="preserve">Шасси 350×240 мм, база 200, колея 280</t>
  </si>
  <si>
    <t xml:space="preserve">размеры изменены</t>
  </si>
  <si>
    <t xml:space="preserve">Пластик для 3D-печати</t>
  </si>
  <si>
    <t xml:space="preserve">PETG, 1 кг</t>
  </si>
  <si>
    <t xml:space="preserve">Кронштейны, стойка датчиков, корпус электроники</t>
  </si>
  <si>
    <t xml:space="preserve">ОЦЕНКА, проверить (может дать лаборатория → 0)</t>
  </si>
  <si>
    <t xml:space="preserve">Балласт</t>
  </si>
  <si>
    <t xml:space="preserve">Стальные пластины/диски 2–4 кг</t>
  </si>
  <si>
    <t xml:space="preserve">Масса 8–12 кг → сцепление</t>
  </si>
  <si>
    <t xml:space="preserve">добавлено (можно бесплатно)</t>
  </si>
  <si>
    <t xml:space="preserve">ОЦЕНКА, проверить (найти бесплатно)</t>
  </si>
  <si>
    <t xml:space="preserve">Провода и разъёмы</t>
  </si>
  <si>
    <t xml:space="preserve">Силовой 0,75–1,5 мм², XT30/XT60, JST, Dupont, термоусадка</t>
  </si>
  <si>
    <t xml:space="preserve">Монтаж</t>
  </si>
  <si>
    <t xml:space="preserve">Монтажная плата</t>
  </si>
  <si>
    <t xml:space="preserve">Макетная плата / плата-расширитель ESP32 с клеммами</t>
  </si>
  <si>
    <t xml:space="preserve">Пайка узла управления</t>
  </si>
  <si>
    <t xml:space="preserve">Утеплитель отсека АКБ</t>
  </si>
  <si>
    <t xml:space="preserve">Вспененный полиэтилен 5–10 мм</t>
  </si>
  <si>
    <t xml:space="preserve">Работа при −5…−10 °C</t>
  </si>
  <si>
    <t xml:space="preserve">G. Для опытов</t>
  </si>
  <si>
    <t xml:space="preserve">Динамометр (кантер)</t>
  </si>
  <si>
    <t xml:space="preserve">Электронный, 10–20 кг</t>
  </si>
  <si>
    <t xml:space="preserve">Измерить сцепление и сопротивление отвала</t>
  </si>
  <si>
    <t xml:space="preserve">добавлено — главный инструмент проверки расчётов</t>
  </si>
  <si>
    <t xml:space="preserve">ОЦЕНКА, проверить (можно взять в лаборатории → 0)</t>
  </si>
  <si>
    <t xml:space="preserve">Итого, ₽</t>
  </si>
  <si>
    <t xml:space="preserve">Расчёт тяги, моторов и энергии (глава 3 эссе)</t>
  </si>
  <si>
    <t xml:space="preserve">Меняйте жёлтые ячейки — выводы ниже пересчитаются. Те же формулы — в calc/raschet.py.</t>
  </si>
  <si>
    <t xml:space="preserve">Исходные данные</t>
  </si>
  <si>
    <t xml:space="preserve">Масса робота с балластом m</t>
  </si>
  <si>
    <t xml:space="preserve">кг</t>
  </si>
  <si>
    <t xml:space="preserve">Рекомендуем 8–12 кг. v1 — 3 кг</t>
  </si>
  <si>
    <t xml:space="preserve">Доля веса на ведущих колёсах</t>
  </si>
  <si>
    <t xml:space="preserve">4 ведущих = 1; 2 ведущих ≈ 0,5–0,6</t>
  </si>
  <si>
    <t xml:space="preserve">Коэффициент сцепления резина–снег μ</t>
  </si>
  <si>
    <t xml:space="preserve">0,15 рыхлый/накат … 0,45 влажный снег на асфальте. ПРОВЕРИТЬ динамометром</t>
  </si>
  <si>
    <t xml:space="preserve">Сопротивление качению c</t>
  </si>
  <si>
    <t xml:space="preserve">Малые колёса по снегу/слякоти: 0,05–0,15</t>
  </si>
  <si>
    <t xml:space="preserve">Уклон дорожки</t>
  </si>
  <si>
    <t xml:space="preserve">°</t>
  </si>
  <si>
    <t xml:space="preserve">Разгон a</t>
  </si>
  <si>
    <t xml:space="preserve">м/с²</t>
  </si>
  <si>
    <t xml:space="preserve">Как в прошивке (accelMps2)</t>
  </si>
  <si>
    <t xml:space="preserve">Глубина свежего снега h</t>
  </si>
  <si>
    <t xml:space="preserve">м</t>
  </si>
  <si>
    <t xml:space="preserve">Целевая для демонстрации: до 3–4 см</t>
  </si>
  <si>
    <t xml:space="preserve">Плотность снега ρ</t>
  </si>
  <si>
    <t xml:space="preserve">кг/м³</t>
  </si>
  <si>
    <t xml:space="preserve">Свежий 50–200, слежавшийся 200–400</t>
  </si>
  <si>
    <t xml:space="preserve">Трение кома снега μ_ком</t>
  </si>
  <si>
    <t xml:space="preserve">Оценка</t>
  </si>
  <si>
    <t xml:space="preserve">Длина отвала B</t>
  </si>
  <si>
    <t xml:space="preserve">Угол отвала к поперечному направлению α</t>
  </si>
  <si>
    <t xml:space="preserve">0 — прямой отвал (снег копится перед роботом)</t>
  </si>
  <si>
    <t xml:space="preserve">Коэффициент замедления скольжения снега</t>
  </si>
  <si>
    <t xml:space="preserve">Снег скользит по отвалу медленнее идеала</t>
  </si>
  <si>
    <t xml:space="preserve">Запас на неучтённое</t>
  </si>
  <si>
    <t xml:space="preserve">×</t>
  </si>
  <si>
    <t xml:space="preserve">Диаметр колеса D</t>
  </si>
  <si>
    <t xml:space="preserve">Число ведущих моторов</t>
  </si>
  <si>
    <t xml:space="preserve">шт.</t>
  </si>
  <si>
    <t xml:space="preserve">КПД передачи мотор → колесо</t>
  </si>
  <si>
    <t xml:space="preserve">Колесо прямо на валу редуктора</t>
  </si>
  <si>
    <t xml:space="preserve">Момент блокировки мотора</t>
  </si>
  <si>
    <t xml:space="preserve">кг·см</t>
  </si>
  <si>
    <t xml:space="preserve">JGB37-520 1:90…1:131: продавцы дают 5–8+; берём осторожно</t>
  </si>
  <si>
    <t xml:space="preserve">Обороты холостого хода</t>
  </si>
  <si>
    <t xml:space="preserve">об/мин</t>
  </si>
  <si>
    <t xml:space="preserve">При 12 В</t>
  </si>
  <si>
    <t xml:space="preserve">Колея W</t>
  </si>
  <si>
    <t xml:space="preserve">Между центрами левого и правого колёс</t>
  </si>
  <si>
    <t xml:space="preserve">База L</t>
  </si>
  <si>
    <t xml:space="preserve">Между осями. L &lt; W — легче поворачивать</t>
  </si>
  <si>
    <t xml:space="preserve">Боковое трение колёс μ_бок</t>
  </si>
  <si>
    <t xml:space="preserve">Снег ≈ 0,3; сухой асфальт ≈ 0,7</t>
  </si>
  <si>
    <t xml:space="preserve">Силы</t>
  </si>
  <si>
    <t xml:space="preserve">Тяга по сцеплению</t>
  </si>
  <si>
    <t xml:space="preserve">Н</t>
  </si>
  <si>
    <t xml:space="preserve">Больше этой силы колёса не передадут — начнут буксовать</t>
  </si>
  <si>
    <t xml:space="preserve">Снег, собираемый на 1 м пути</t>
  </si>
  <si>
    <t xml:space="preserve">кг/м</t>
  </si>
  <si>
    <t xml:space="preserve">Снег на отвале (установившийся режим)</t>
  </si>
  <si>
    <t xml:space="preserve">Снег скользит вдоль наклонного отвала и сходит с заднего края</t>
  </si>
  <si>
    <t xml:space="preserve">Сопротивление качению</t>
  </si>
  <si>
    <t xml:space="preserve">Подъём на уклон</t>
  </si>
  <si>
    <t xml:space="preserve">Разгон</t>
  </si>
  <si>
    <t xml:space="preserve">Сопротивление отвала</t>
  </si>
  <si>
    <t xml:space="preserve">Итого сопротивление</t>
  </si>
  <si>
    <t xml:space="preserve">Итого с запасом</t>
  </si>
  <si>
    <t xml:space="preserve">Запас по сцеплению</t>
  </si>
  <si>
    <t xml:space="preserve">Должен быть &gt; 0</t>
  </si>
  <si>
    <t xml:space="preserve">Вывод</t>
  </si>
  <si>
    <t xml:space="preserve">Прямой отвал упрётся в сцепление через</t>
  </si>
  <si>
    <t xml:space="preserve">Почему отвал ставим под углом</t>
  </si>
  <si>
    <t xml:space="preserve">Моторы</t>
  </si>
  <si>
    <t xml:space="preserve">Момент на один мотор (рабочий)</t>
  </si>
  <si>
    <t xml:space="preserve">Доля от момента блокировки</t>
  </si>
  <si>
    <t xml:space="preserve">Лучше &lt; 0,5; при &gt; 0,7 мотор греется и теряет скорость</t>
  </si>
  <si>
    <t xml:space="preserve">Скорость под нагрузкой</t>
  </si>
  <si>
    <t xml:space="preserve">м/с</t>
  </si>
  <si>
    <t xml:space="preserve">Линейная модель DC-мотора</t>
  </si>
  <si>
    <t xml:space="preserve">Момент на мотор на пределе сцепления</t>
  </si>
  <si>
    <t xml:space="preserve">Если моторы сильнее — колёса провернутся раньше, чем мотор встанет</t>
  </si>
  <si>
    <t xml:space="preserve">Поворот на месте: сила на борт</t>
  </si>
  <si>
    <t xml:space="preserve">Поворот на месте: момент на мотор</t>
  </si>
  <si>
    <t xml:space="preserve">Если &gt; момента блокировки — поворачивать дугой (SET turn_inner)</t>
  </si>
  <si>
    <t xml:space="preserve">Обороты колеса для 0,25 м/с</t>
  </si>
  <si>
    <t xml:space="preserve">Энергия</t>
  </si>
  <si>
    <t xml:space="preserve">Ёмкость банки</t>
  </si>
  <si>
    <t xml:space="preserve">А·ч</t>
  </si>
  <si>
    <t xml:space="preserve">Банок последовательно (S)</t>
  </si>
  <si>
    <t xml:space="preserve">Параллельно (P)</t>
  </si>
  <si>
    <t xml:space="preserve">Напряжение банки</t>
  </si>
  <si>
    <t xml:space="preserve">В</t>
  </si>
  <si>
    <t xml:space="preserve">Номинальное</t>
  </si>
  <si>
    <t xml:space="preserve">Используемая доля ёмкости</t>
  </si>
  <si>
    <t xml:space="preserve">Потери на морозе (−10 °C)</t>
  </si>
  <si>
    <t xml:space="preserve">Ориентир</t>
  </si>
  <si>
    <t xml:space="preserve">Электроника (Pi, ESP32, камера, датчики) с учётом DC-DC</t>
  </si>
  <si>
    <t xml:space="preserve">Вт</t>
  </si>
  <si>
    <t xml:space="preserve">Pi 4 ≈ 3,5 Вт в среднем</t>
  </si>
  <si>
    <t xml:space="preserve">КПД мотор-редукторов</t>
  </si>
  <si>
    <t xml:space="preserve">Рабочая скорость</t>
  </si>
  <si>
    <t xml:space="preserve">Энергия АКБ (номинал)</t>
  </si>
  <si>
    <t xml:space="preserve">Вт·ч</t>
  </si>
  <si>
    <t xml:space="preserve">Мощность моторов</t>
  </si>
  <si>
    <t xml:space="preserve">+ потери холостого хода</t>
  </si>
  <si>
    <t xml:space="preserve">Мощность всего</t>
  </si>
  <si>
    <t xml:space="preserve">Время работы (тепло)</t>
  </si>
  <si>
    <t xml:space="preserve">ч</t>
  </si>
  <si>
    <t xml:space="preserve">Время работы (мороз)</t>
  </si>
  <si>
    <t xml:space="preserve">Пиковый ток (все моторы в блокировке)</t>
  </si>
  <si>
    <t xml:space="preserve">А</t>
  </si>
  <si>
    <t xml:space="preserve">Ток блокировки 1,2 А на мотор → предохранитель 7,5 А</t>
  </si>
  <si>
    <t xml:space="preserve">Итоги и бюджет</t>
  </si>
  <si>
    <t xml:space="preserve">Позиций P0</t>
  </si>
  <si>
    <t xml:space="preserve">Позиций P1</t>
  </si>
  <si>
    <t xml:space="preserve">Сумма P0 по найденным ценам, ₽</t>
  </si>
  <si>
    <t xml:space="preserve">остальное в P0 — оценки</t>
  </si>
  <si>
    <t xml:space="preserve">Сумма P0, ₽</t>
  </si>
  <si>
    <t xml:space="preserve">Сумма P1, ₽</t>
  </si>
  <si>
    <t xml:space="preserve">Резерв, %</t>
  </si>
  <si>
    <t xml:space="preserve">допущение, меняется</t>
  </si>
  <si>
    <t xml:space="preserve">P0 с резервом, ₽</t>
  </si>
  <si>
    <t xml:space="preserve">Бюджет проекта, ₽</t>
  </si>
  <si>
    <t xml:space="preserve">из заявки: 25 000–30 000 ₽ (ваша смета v1 — ~28 000 ₽ с резервом)</t>
  </si>
  <si>
    <t xml:space="preserve">Остаток бюджета после P0, ₽</t>
  </si>
  <si>
    <t xml:space="preserve">На человека (6 в команде), P0 с резервом, ₽</t>
  </si>
  <si>
    <t xml:space="preserve">Не включено: инструмент, доставка, Raspberry Pi (из лаборатории).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</si>
</sst>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-#,##0;\-"/>
    <numFmt numFmtId="166" formatCode="0.00"/>
    <numFmt numFmtId="167" formatCode="0%"/>
    <numFmt numFmtId="168" formatCode="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10"/>
      <color rgb="FF5D6D7E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1E8449"/>
      <name val="Arial"/>
      <family val="0"/>
      <charset val="1"/>
    </font>
    <font>
      <sz val="9"/>
      <color rgb="FFA04000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i val="true"/>
      <sz val="9"/>
      <color rgb="FF5D6D7E"/>
      <name val="Arial"/>
      <family val="0"/>
      <charset val="1"/>
    </font>
    <font>
      <sz val="10"/>
      <color rgb="FF5D6D7E"/>
      <name val="Arial"/>
      <family val="0"/>
      <charset val="1"/>
    </font>
    <font>
      <sz val="9"/>
      <color rgb="FF5D6D7E"/>
      <name val="Arial"/>
      <family val="0"/>
      <charset val="1"/>
    </font>
    <font>
      <i val="true"/>
      <sz val="9"/>
      <color rgb="FF808B9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99"/>
        <bgColor rgb="FFFCF3CF"/>
      </patternFill>
    </fill>
    <fill>
      <patternFill patternType="solid">
        <fgColor rgb="FFD5F5E3"/>
        <bgColor rgb="FFCCFFFF"/>
      </patternFill>
    </fill>
    <fill>
      <patternFill patternType="solid">
        <fgColor rgb="FFFDEBD0"/>
        <bgColor rgb="FFFCF3CF"/>
      </patternFill>
    </fill>
    <fill>
      <patternFill patternType="solid">
        <fgColor rgb="FFFCF3CF"/>
        <bgColor rgb="FFFDEBD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EB6BF"/>
      </left>
      <right style="thin">
        <color rgb="FFAEB6BF"/>
      </right>
      <top style="thin">
        <color rgb="FFAEB6BF"/>
      </top>
      <bottom style="thin">
        <color rgb="FFAEB6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FCF3CF"/>
          <bgColor rgb="FF000000"/>
        </patternFill>
      </fill>
    </dxf>
    <dxf>
      <fill>
        <patternFill patternType="solid">
          <fgColor rgb="FFFDEBD0"/>
          <bgColor rgb="FF000000"/>
        </patternFill>
      </fill>
    </dxf>
    <dxf>
      <fill>
        <patternFill patternType="solid">
          <fgColor rgb="FF1E8449"/>
          <bgColor rgb="FF000000"/>
        </patternFill>
      </fill>
    </dxf>
    <dxf>
      <fill>
        <patternFill patternType="solid">
          <fgColor rgb="FFA04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B6BF"/>
      <rgbColor rgb="FF808B96"/>
      <rgbColor rgb="FF9999FF"/>
      <rgbColor rgb="FF993366"/>
      <rgbColor rgb="FFFCF3C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DEBD0"/>
      <rgbColor rgb="FF3366FF"/>
      <rgbColor rgb="FF33CCCC"/>
      <rgbColor rgb="FF99CC00"/>
      <rgbColor rgb="FFFFCC00"/>
      <rgbColor rgb="FFFF9900"/>
      <rgbColor rgb="FFFF6600"/>
      <rgbColor rgb="FF5D6D7E"/>
      <rgbColor rgb="FF969696"/>
      <rgbColor rgb="FF1F3A5F"/>
      <rgbColor rgb="FF1E8449"/>
      <rgbColor rgb="FF003300"/>
      <rgbColor rgb="FF333300"/>
      <rgbColor rgb="FFA040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B2:B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27.75" hidden="false" customHeight="true" outlineLevel="0" collapsed="false">
      <c r="B5" s="3" t="s">
        <v>2</v>
      </c>
    </row>
    <row r="6" customFormat="false" ht="27.75" hidden="false" customHeight="true" outlineLevel="0" collapsed="false">
      <c r="B6" s="3" t="s">
        <v>3</v>
      </c>
    </row>
    <row r="7" customFormat="false" ht="27.75" hidden="false" customHeight="true" outlineLevel="0" collapsed="false">
      <c r="B7" s="3" t="s">
        <v>4</v>
      </c>
    </row>
    <row r="8" customFormat="false" ht="27.75" hidden="false" customHeight="true" outlineLevel="0" collapsed="false">
      <c r="B8" s="3" t="s">
        <v>5</v>
      </c>
    </row>
    <row r="9" customFormat="false" ht="27.75" hidden="false" customHeight="true" outlineLevel="0" collapsed="false">
      <c r="B9" s="3" t="s">
        <v>6</v>
      </c>
    </row>
    <row r="10" customFormat="false" ht="27.75" hidden="false" customHeight="true" outlineLevel="0" collapsed="false">
      <c r="B10" s="3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38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8" min="7" style="0" width="34"/>
    <col collapsed="false" customWidth="true" hidden="false" outlineLevel="0" max="10" min="9" style="0" width="14"/>
    <col collapsed="false" customWidth="true" hidden="false" outlineLevel="0" max="11" min="11" style="0" width="40"/>
  </cols>
  <sheetData>
    <row r="1" customFormat="false" ht="31.5" hidden="false" customHeight="true" outlineLevel="0" collapsed="false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</row>
    <row r="2" customFormat="false" ht="23.85" hidden="false" customHeight="false" outlineLevel="0" collapsed="false">
      <c r="A2" s="5" t="n">
        <v>1</v>
      </c>
      <c r="B2" s="5" t="s">
        <v>19</v>
      </c>
      <c r="C2" s="5" t="s">
        <v>20</v>
      </c>
      <c r="D2" s="5" t="s">
        <v>21</v>
      </c>
      <c r="E2" s="6" t="n">
        <v>2</v>
      </c>
      <c r="F2" s="7" t="s">
        <v>22</v>
      </c>
      <c r="G2" s="5" t="s">
        <v>23</v>
      </c>
      <c r="H2" s="5" t="s">
        <v>24</v>
      </c>
      <c r="I2" s="8" t="n">
        <v>550</v>
      </c>
      <c r="J2" s="9" t="n">
        <f aca="false">IF(ISNUMBER(I2),E2*I2,0)</f>
        <v>1100</v>
      </c>
      <c r="K2" s="10" t="s">
        <v>25</v>
      </c>
    </row>
    <row r="3" customFormat="false" ht="23.85" hidden="false" customHeight="false" outlineLevel="0" collapsed="false">
      <c r="A3" s="5" t="n">
        <v>2</v>
      </c>
      <c r="B3" s="5" t="s">
        <v>19</v>
      </c>
      <c r="C3" s="5" t="s">
        <v>26</v>
      </c>
      <c r="D3" s="5" t="s">
        <v>27</v>
      </c>
      <c r="E3" s="6" t="n">
        <v>1</v>
      </c>
      <c r="F3" s="7" t="s">
        <v>22</v>
      </c>
      <c r="G3" s="5" t="s">
        <v>28</v>
      </c>
      <c r="H3" s="5" t="s">
        <v>29</v>
      </c>
      <c r="I3" s="8" t="n">
        <v>0</v>
      </c>
      <c r="J3" s="9" t="n">
        <f aca="false">IF(ISNUMBER(I3),E3*I3,0)</f>
        <v>0</v>
      </c>
      <c r="K3" s="10" t="s">
        <v>30</v>
      </c>
    </row>
    <row r="4" customFormat="false" ht="15" hidden="false" customHeight="false" outlineLevel="0" collapsed="false">
      <c r="A4" s="5" t="n">
        <v>3</v>
      </c>
      <c r="B4" s="5" t="s">
        <v>19</v>
      </c>
      <c r="C4" s="5" t="s">
        <v>31</v>
      </c>
      <c r="D4" s="5" t="s">
        <v>32</v>
      </c>
      <c r="E4" s="6" t="n">
        <v>1</v>
      </c>
      <c r="F4" s="7" t="s">
        <v>22</v>
      </c>
      <c r="G4" s="5" t="s">
        <v>33</v>
      </c>
      <c r="H4" s="5" t="s">
        <v>34</v>
      </c>
      <c r="I4" s="11" t="n">
        <v>500</v>
      </c>
      <c r="J4" s="9" t="n">
        <f aca="false">IF(ISNUMBER(I4),E4*I4,0)</f>
        <v>500</v>
      </c>
      <c r="K4" s="12" t="s">
        <v>35</v>
      </c>
    </row>
    <row r="5" customFormat="false" ht="23.85" hidden="false" customHeight="false" outlineLevel="0" collapsed="false">
      <c r="A5" s="5" t="n">
        <v>4</v>
      </c>
      <c r="B5" s="5" t="s">
        <v>19</v>
      </c>
      <c r="C5" s="5" t="s">
        <v>36</v>
      </c>
      <c r="D5" s="5" t="s">
        <v>37</v>
      </c>
      <c r="E5" s="6" t="n">
        <v>1</v>
      </c>
      <c r="F5" s="7" t="s">
        <v>22</v>
      </c>
      <c r="G5" s="5" t="s">
        <v>38</v>
      </c>
      <c r="H5" s="5" t="s">
        <v>39</v>
      </c>
      <c r="I5" s="8" t="n">
        <v>820</v>
      </c>
      <c r="J5" s="9" t="n">
        <f aca="false">IF(ISNUMBER(I5),E5*I5,0)</f>
        <v>820</v>
      </c>
      <c r="K5" s="10" t="s">
        <v>40</v>
      </c>
    </row>
    <row r="6" customFormat="false" ht="23.85" hidden="false" customHeight="false" outlineLevel="0" collapsed="false">
      <c r="A6" s="5" t="n">
        <v>5</v>
      </c>
      <c r="B6" s="5" t="s">
        <v>41</v>
      </c>
      <c r="C6" s="5" t="s">
        <v>42</v>
      </c>
      <c r="D6" s="5" t="s">
        <v>43</v>
      </c>
      <c r="E6" s="6" t="n">
        <v>4</v>
      </c>
      <c r="F6" s="7" t="s">
        <v>22</v>
      </c>
      <c r="G6" s="5" t="s">
        <v>44</v>
      </c>
      <c r="H6" s="5" t="s">
        <v>45</v>
      </c>
      <c r="I6" s="8" t="n">
        <v>1100</v>
      </c>
      <c r="J6" s="9" t="n">
        <f aca="false">IF(ISNUMBER(I6),E6*I6,0)</f>
        <v>4400</v>
      </c>
      <c r="K6" s="10" t="s">
        <v>46</v>
      </c>
    </row>
    <row r="7" customFormat="false" ht="15" hidden="false" customHeight="false" outlineLevel="0" collapsed="false">
      <c r="A7" s="5" t="n">
        <v>6</v>
      </c>
      <c r="B7" s="5" t="s">
        <v>41</v>
      </c>
      <c r="C7" s="5" t="s">
        <v>47</v>
      </c>
      <c r="D7" s="5" t="s">
        <v>48</v>
      </c>
      <c r="E7" s="6" t="n">
        <v>4</v>
      </c>
      <c r="F7" s="7" t="s">
        <v>22</v>
      </c>
      <c r="G7" s="5" t="s">
        <v>49</v>
      </c>
      <c r="H7" s="5" t="s">
        <v>34</v>
      </c>
      <c r="I7" s="11" t="n">
        <v>150</v>
      </c>
      <c r="J7" s="9" t="n">
        <f aca="false">IF(ISNUMBER(I7),E7*I7,0)</f>
        <v>600</v>
      </c>
      <c r="K7" s="12" t="s">
        <v>35</v>
      </c>
    </row>
    <row r="8" customFormat="false" ht="23.85" hidden="false" customHeight="false" outlineLevel="0" collapsed="false">
      <c r="A8" s="5" t="n">
        <v>7</v>
      </c>
      <c r="B8" s="5" t="s">
        <v>41</v>
      </c>
      <c r="C8" s="5" t="s">
        <v>50</v>
      </c>
      <c r="D8" s="5" t="s">
        <v>51</v>
      </c>
      <c r="E8" s="6" t="n">
        <v>4</v>
      </c>
      <c r="F8" s="7" t="s">
        <v>22</v>
      </c>
      <c r="G8" s="5" t="s">
        <v>52</v>
      </c>
      <c r="H8" s="5" t="s">
        <v>53</v>
      </c>
      <c r="I8" s="8" t="n">
        <v>500</v>
      </c>
      <c r="J8" s="9" t="n">
        <f aca="false">IF(ISNUMBER(I8),E8*I8,0)</f>
        <v>2000</v>
      </c>
      <c r="K8" s="10" t="s">
        <v>54</v>
      </c>
    </row>
    <row r="9" customFormat="false" ht="23.85" hidden="false" customHeight="false" outlineLevel="0" collapsed="false">
      <c r="A9" s="5" t="n">
        <v>8</v>
      </c>
      <c r="B9" s="5" t="s">
        <v>41</v>
      </c>
      <c r="C9" s="5" t="s">
        <v>55</v>
      </c>
      <c r="D9" s="5" t="s">
        <v>56</v>
      </c>
      <c r="E9" s="6" t="n">
        <v>2</v>
      </c>
      <c r="F9" s="7" t="s">
        <v>22</v>
      </c>
      <c r="G9" s="5" t="s">
        <v>57</v>
      </c>
      <c r="H9" s="5" t="s">
        <v>34</v>
      </c>
      <c r="I9" s="8" t="n">
        <v>150</v>
      </c>
      <c r="J9" s="9" t="n">
        <f aca="false">IF(ISNUMBER(I9),E9*I9,0)</f>
        <v>300</v>
      </c>
      <c r="K9" s="10" t="s">
        <v>58</v>
      </c>
    </row>
    <row r="10" customFormat="false" ht="23.85" hidden="false" customHeight="false" outlineLevel="0" collapsed="false">
      <c r="A10" s="5" t="n">
        <v>9</v>
      </c>
      <c r="B10" s="5" t="s">
        <v>41</v>
      </c>
      <c r="C10" s="5" t="s">
        <v>59</v>
      </c>
      <c r="D10" s="5" t="s">
        <v>60</v>
      </c>
      <c r="E10" s="6" t="n">
        <v>2</v>
      </c>
      <c r="F10" s="7" t="s">
        <v>22</v>
      </c>
      <c r="G10" s="5" t="s">
        <v>61</v>
      </c>
      <c r="H10" s="5" t="s">
        <v>62</v>
      </c>
      <c r="I10" s="8" t="n">
        <v>580</v>
      </c>
      <c r="J10" s="9" t="n">
        <f aca="false">IF(ISNUMBER(I10),E10*I10,0)</f>
        <v>1160</v>
      </c>
      <c r="K10" s="10" t="s">
        <v>63</v>
      </c>
    </row>
    <row r="11" customFormat="false" ht="15" hidden="false" customHeight="false" outlineLevel="0" collapsed="false">
      <c r="A11" s="5" t="n">
        <v>10</v>
      </c>
      <c r="B11" s="5" t="s">
        <v>41</v>
      </c>
      <c r="C11" s="5" t="s">
        <v>64</v>
      </c>
      <c r="D11" s="5" t="s">
        <v>65</v>
      </c>
      <c r="E11" s="6" t="n">
        <v>1</v>
      </c>
      <c r="F11" s="7" t="s">
        <v>22</v>
      </c>
      <c r="G11" s="5" t="s">
        <v>66</v>
      </c>
      <c r="H11" s="5" t="s">
        <v>34</v>
      </c>
      <c r="I11" s="11" t="n">
        <v>100</v>
      </c>
      <c r="J11" s="9" t="n">
        <f aca="false">IF(ISNUMBER(I11),E11*I11,0)</f>
        <v>100</v>
      </c>
      <c r="K11" s="12" t="s">
        <v>35</v>
      </c>
    </row>
    <row r="12" customFormat="false" ht="15" hidden="false" customHeight="false" outlineLevel="0" collapsed="false">
      <c r="A12" s="5" t="n">
        <v>11</v>
      </c>
      <c r="B12" s="5" t="s">
        <v>67</v>
      </c>
      <c r="C12" s="5" t="s">
        <v>68</v>
      </c>
      <c r="D12" s="5" t="s">
        <v>69</v>
      </c>
      <c r="E12" s="6" t="n">
        <v>1</v>
      </c>
      <c r="F12" s="7" t="s">
        <v>22</v>
      </c>
      <c r="G12" s="5" t="s">
        <v>70</v>
      </c>
      <c r="H12" s="5" t="s">
        <v>71</v>
      </c>
      <c r="I12" s="11" t="n">
        <v>250</v>
      </c>
      <c r="J12" s="9" t="n">
        <f aca="false">IF(ISNUMBER(I12),E12*I12,0)</f>
        <v>250</v>
      </c>
      <c r="K12" s="12" t="s">
        <v>35</v>
      </c>
    </row>
    <row r="13" customFormat="false" ht="15" hidden="false" customHeight="false" outlineLevel="0" collapsed="false">
      <c r="A13" s="5" t="n">
        <v>12</v>
      </c>
      <c r="B13" s="5" t="s">
        <v>67</v>
      </c>
      <c r="C13" s="5" t="s">
        <v>72</v>
      </c>
      <c r="D13" s="5" t="s">
        <v>73</v>
      </c>
      <c r="E13" s="6" t="n">
        <v>4</v>
      </c>
      <c r="F13" s="7" t="s">
        <v>22</v>
      </c>
      <c r="G13" s="5" t="s">
        <v>74</v>
      </c>
      <c r="H13" s="5" t="s">
        <v>75</v>
      </c>
      <c r="I13" s="11" t="n">
        <v>150</v>
      </c>
      <c r="J13" s="9" t="n">
        <f aca="false">IF(ISNUMBER(I13),E13*I13,0)</f>
        <v>600</v>
      </c>
      <c r="K13" s="12" t="s">
        <v>35</v>
      </c>
    </row>
    <row r="14" customFormat="false" ht="15" hidden="false" customHeight="false" outlineLevel="0" collapsed="false">
      <c r="A14" s="5" t="n">
        <v>13</v>
      </c>
      <c r="B14" s="5" t="s">
        <v>67</v>
      </c>
      <c r="C14" s="5" t="s">
        <v>76</v>
      </c>
      <c r="D14" s="5" t="s">
        <v>77</v>
      </c>
      <c r="E14" s="6" t="n">
        <v>2</v>
      </c>
      <c r="F14" s="7" t="s">
        <v>22</v>
      </c>
      <c r="G14" s="5" t="s">
        <v>78</v>
      </c>
      <c r="H14" s="5" t="s">
        <v>34</v>
      </c>
      <c r="I14" s="11" t="n">
        <v>50</v>
      </c>
      <c r="J14" s="9" t="n">
        <f aca="false">IF(ISNUMBER(I14),E14*I14,0)</f>
        <v>100</v>
      </c>
      <c r="K14" s="12" t="s">
        <v>35</v>
      </c>
    </row>
    <row r="15" customFormat="false" ht="23.85" hidden="false" customHeight="false" outlineLevel="0" collapsed="false">
      <c r="A15" s="5" t="n">
        <v>14</v>
      </c>
      <c r="B15" s="5" t="s">
        <v>67</v>
      </c>
      <c r="C15" s="5" t="s">
        <v>79</v>
      </c>
      <c r="D15" s="5" t="s">
        <v>80</v>
      </c>
      <c r="E15" s="6" t="n">
        <v>1</v>
      </c>
      <c r="F15" s="7" t="s">
        <v>22</v>
      </c>
      <c r="G15" s="5" t="s">
        <v>81</v>
      </c>
      <c r="H15" s="5" t="s">
        <v>34</v>
      </c>
      <c r="I15" s="11" t="n">
        <v>200</v>
      </c>
      <c r="J15" s="9" t="n">
        <f aca="false">IF(ISNUMBER(I15),E15*I15,0)</f>
        <v>200</v>
      </c>
      <c r="K15" s="12" t="s">
        <v>35</v>
      </c>
    </row>
    <row r="16" customFormat="false" ht="15" hidden="false" customHeight="false" outlineLevel="0" collapsed="false">
      <c r="A16" s="5" t="n">
        <v>15</v>
      </c>
      <c r="B16" s="5" t="s">
        <v>67</v>
      </c>
      <c r="C16" s="5" t="s">
        <v>82</v>
      </c>
      <c r="D16" s="5" t="s">
        <v>83</v>
      </c>
      <c r="E16" s="6" t="n">
        <v>1</v>
      </c>
      <c r="F16" s="13" t="s">
        <v>84</v>
      </c>
      <c r="G16" s="5" t="s">
        <v>85</v>
      </c>
      <c r="H16" s="5" t="s">
        <v>86</v>
      </c>
      <c r="I16" s="11" t="n">
        <v>600</v>
      </c>
      <c r="J16" s="9" t="n">
        <f aca="false">IF(ISNUMBER(I16),E16*I16,0)</f>
        <v>600</v>
      </c>
      <c r="K16" s="12" t="s">
        <v>35</v>
      </c>
    </row>
    <row r="17" customFormat="false" ht="23.85" hidden="false" customHeight="false" outlineLevel="0" collapsed="false">
      <c r="A17" s="5" t="n">
        <v>16</v>
      </c>
      <c r="B17" s="5" t="s">
        <v>87</v>
      </c>
      <c r="C17" s="5" t="s">
        <v>88</v>
      </c>
      <c r="D17" s="5" t="s">
        <v>89</v>
      </c>
      <c r="E17" s="6" t="n">
        <v>1</v>
      </c>
      <c r="F17" s="7" t="s">
        <v>22</v>
      </c>
      <c r="G17" s="5" t="s">
        <v>90</v>
      </c>
      <c r="H17" s="5" t="s">
        <v>91</v>
      </c>
      <c r="I17" s="11" t="n">
        <v>400</v>
      </c>
      <c r="J17" s="9" t="n">
        <f aca="false">IF(ISNUMBER(I17),E17*I17,0)</f>
        <v>400</v>
      </c>
      <c r="K17" s="12" t="s">
        <v>35</v>
      </c>
    </row>
    <row r="18" customFormat="false" ht="22.35" hidden="false" customHeight="false" outlineLevel="0" collapsed="false">
      <c r="A18" s="5" t="n">
        <v>17</v>
      </c>
      <c r="B18" s="5" t="s">
        <v>87</v>
      </c>
      <c r="C18" s="5" t="s">
        <v>92</v>
      </c>
      <c r="D18" s="5" t="s">
        <v>93</v>
      </c>
      <c r="E18" s="6" t="n">
        <v>2</v>
      </c>
      <c r="F18" s="7" t="s">
        <v>22</v>
      </c>
      <c r="G18" s="5" t="s">
        <v>94</v>
      </c>
      <c r="H18" s="5" t="s">
        <v>95</v>
      </c>
      <c r="I18" s="8" t="n">
        <v>420</v>
      </c>
      <c r="J18" s="9" t="n">
        <f aca="false">IF(ISNUMBER(I18),E18*I18,0)</f>
        <v>840</v>
      </c>
      <c r="K18" s="10" t="s">
        <v>96</v>
      </c>
    </row>
    <row r="19" customFormat="false" ht="15" hidden="false" customHeight="false" outlineLevel="0" collapsed="false">
      <c r="A19" s="5" t="n">
        <v>18</v>
      </c>
      <c r="B19" s="5" t="s">
        <v>87</v>
      </c>
      <c r="C19" s="5" t="s">
        <v>97</v>
      </c>
      <c r="D19" s="5" t="s">
        <v>98</v>
      </c>
      <c r="E19" s="6" t="n">
        <v>1</v>
      </c>
      <c r="F19" s="7" t="s">
        <v>22</v>
      </c>
      <c r="G19" s="5" t="s">
        <v>99</v>
      </c>
      <c r="H19" s="5" t="s">
        <v>34</v>
      </c>
      <c r="I19" s="11" t="n">
        <v>150</v>
      </c>
      <c r="J19" s="9" t="n">
        <f aca="false">IF(ISNUMBER(I19),E19*I19,0)</f>
        <v>150</v>
      </c>
      <c r="K19" s="12" t="s">
        <v>35</v>
      </c>
    </row>
    <row r="20" customFormat="false" ht="22.35" hidden="false" customHeight="false" outlineLevel="0" collapsed="false">
      <c r="A20" s="5" t="n">
        <v>19</v>
      </c>
      <c r="B20" s="5" t="s">
        <v>100</v>
      </c>
      <c r="C20" s="5" t="s">
        <v>101</v>
      </c>
      <c r="D20" s="5" t="s">
        <v>102</v>
      </c>
      <c r="E20" s="6" t="n">
        <v>4</v>
      </c>
      <c r="F20" s="7" t="s">
        <v>22</v>
      </c>
      <c r="G20" s="5" t="s">
        <v>103</v>
      </c>
      <c r="H20" s="5" t="s">
        <v>24</v>
      </c>
      <c r="I20" s="8" t="n">
        <v>600</v>
      </c>
      <c r="J20" s="9" t="n">
        <f aca="false">IF(ISNUMBER(I20),E20*I20,0)</f>
        <v>2400</v>
      </c>
      <c r="K20" s="10" t="s">
        <v>104</v>
      </c>
    </row>
    <row r="21" customFormat="false" ht="23.85" hidden="false" customHeight="false" outlineLevel="0" collapsed="false">
      <c r="A21" s="5" t="n">
        <v>20</v>
      </c>
      <c r="B21" s="5" t="s">
        <v>100</v>
      </c>
      <c r="C21" s="5" t="s">
        <v>105</v>
      </c>
      <c r="D21" s="5" t="s">
        <v>106</v>
      </c>
      <c r="E21" s="6" t="n">
        <v>1</v>
      </c>
      <c r="F21" s="7" t="s">
        <v>22</v>
      </c>
      <c r="G21" s="5"/>
      <c r="H21" s="5" t="s">
        <v>24</v>
      </c>
      <c r="I21" s="11" t="n">
        <v>150</v>
      </c>
      <c r="J21" s="9" t="n">
        <f aca="false">IF(ISNUMBER(I21),E21*I21,0)</f>
        <v>150</v>
      </c>
      <c r="K21" s="12" t="s">
        <v>35</v>
      </c>
    </row>
    <row r="22" customFormat="false" ht="15" hidden="false" customHeight="false" outlineLevel="0" collapsed="false">
      <c r="A22" s="5" t="n">
        <v>21</v>
      </c>
      <c r="B22" s="5" t="s">
        <v>100</v>
      </c>
      <c r="C22" s="5" t="s">
        <v>107</v>
      </c>
      <c r="D22" s="5" t="s">
        <v>108</v>
      </c>
      <c r="E22" s="6" t="n">
        <v>1</v>
      </c>
      <c r="F22" s="7" t="s">
        <v>22</v>
      </c>
      <c r="G22" s="5" t="s">
        <v>109</v>
      </c>
      <c r="H22" s="5" t="s">
        <v>24</v>
      </c>
      <c r="I22" s="8" t="n">
        <v>230</v>
      </c>
      <c r="J22" s="9" t="n">
        <f aca="false">IF(ISNUMBER(I22),E22*I22,0)</f>
        <v>230</v>
      </c>
      <c r="K22" s="10" t="s">
        <v>110</v>
      </c>
    </row>
    <row r="23" customFormat="false" ht="15" hidden="false" customHeight="false" outlineLevel="0" collapsed="false">
      <c r="A23" s="5" t="n">
        <v>22</v>
      </c>
      <c r="B23" s="5" t="s">
        <v>100</v>
      </c>
      <c r="C23" s="5" t="s">
        <v>111</v>
      </c>
      <c r="D23" s="5" t="s">
        <v>112</v>
      </c>
      <c r="E23" s="6" t="n">
        <v>1</v>
      </c>
      <c r="F23" s="7" t="s">
        <v>22</v>
      </c>
      <c r="G23" s="5" t="s">
        <v>113</v>
      </c>
      <c r="H23" s="5" t="s">
        <v>34</v>
      </c>
      <c r="I23" s="11" t="n">
        <v>700</v>
      </c>
      <c r="J23" s="9" t="n">
        <f aca="false">IF(ISNUMBER(I23),E23*I23,0)</f>
        <v>700</v>
      </c>
      <c r="K23" s="12" t="s">
        <v>35</v>
      </c>
    </row>
    <row r="24" customFormat="false" ht="15" hidden="false" customHeight="false" outlineLevel="0" collapsed="false">
      <c r="A24" s="5" t="n">
        <v>23</v>
      </c>
      <c r="B24" s="5" t="s">
        <v>100</v>
      </c>
      <c r="C24" s="5" t="s">
        <v>114</v>
      </c>
      <c r="D24" s="5" t="s">
        <v>115</v>
      </c>
      <c r="E24" s="6" t="n">
        <v>1</v>
      </c>
      <c r="F24" s="7" t="s">
        <v>22</v>
      </c>
      <c r="G24" s="5" t="s">
        <v>116</v>
      </c>
      <c r="H24" s="5" t="s">
        <v>117</v>
      </c>
      <c r="I24" s="11" t="n">
        <v>350</v>
      </c>
      <c r="J24" s="9" t="n">
        <f aca="false">IF(ISNUMBER(I24),E24*I24,0)</f>
        <v>350</v>
      </c>
      <c r="K24" s="12" t="s">
        <v>35</v>
      </c>
    </row>
    <row r="25" customFormat="false" ht="15" hidden="false" customHeight="false" outlineLevel="0" collapsed="false">
      <c r="A25" s="5" t="n">
        <v>24</v>
      </c>
      <c r="B25" s="5" t="s">
        <v>100</v>
      </c>
      <c r="C25" s="5" t="s">
        <v>118</v>
      </c>
      <c r="D25" s="5" t="s">
        <v>119</v>
      </c>
      <c r="E25" s="6" t="n">
        <v>1</v>
      </c>
      <c r="F25" s="7" t="s">
        <v>22</v>
      </c>
      <c r="G25" s="5" t="s">
        <v>120</v>
      </c>
      <c r="H25" s="5" t="s">
        <v>34</v>
      </c>
      <c r="I25" s="11" t="n">
        <v>250</v>
      </c>
      <c r="J25" s="9" t="n">
        <f aca="false">IF(ISNUMBER(I25),E25*I25,0)</f>
        <v>250</v>
      </c>
      <c r="K25" s="12" t="s">
        <v>35</v>
      </c>
    </row>
    <row r="26" customFormat="false" ht="15" hidden="false" customHeight="false" outlineLevel="0" collapsed="false">
      <c r="A26" s="5" t="n">
        <v>25</v>
      </c>
      <c r="B26" s="5" t="s">
        <v>100</v>
      </c>
      <c r="C26" s="5" t="s">
        <v>121</v>
      </c>
      <c r="D26" s="5" t="s">
        <v>122</v>
      </c>
      <c r="E26" s="6" t="n">
        <v>1</v>
      </c>
      <c r="F26" s="7" t="s">
        <v>22</v>
      </c>
      <c r="G26" s="5" t="s">
        <v>123</v>
      </c>
      <c r="H26" s="5" t="s">
        <v>34</v>
      </c>
      <c r="I26" s="11" t="n">
        <v>100</v>
      </c>
      <c r="J26" s="9" t="n">
        <f aca="false">IF(ISNUMBER(I26),E26*I26,0)</f>
        <v>100</v>
      </c>
      <c r="K26" s="12" t="s">
        <v>35</v>
      </c>
    </row>
    <row r="27" customFormat="false" ht="15" hidden="false" customHeight="false" outlineLevel="0" collapsed="false">
      <c r="A27" s="5" t="n">
        <v>26</v>
      </c>
      <c r="B27" s="5" t="s">
        <v>100</v>
      </c>
      <c r="C27" s="5" t="s">
        <v>124</v>
      </c>
      <c r="D27" s="5" t="s">
        <v>125</v>
      </c>
      <c r="E27" s="6" t="n">
        <v>1</v>
      </c>
      <c r="F27" s="7" t="s">
        <v>22</v>
      </c>
      <c r="G27" s="5" t="s">
        <v>126</v>
      </c>
      <c r="H27" s="5" t="s">
        <v>24</v>
      </c>
      <c r="I27" s="11" t="n">
        <v>100</v>
      </c>
      <c r="J27" s="9" t="n">
        <f aca="false">IF(ISNUMBER(I27),E27*I27,0)</f>
        <v>100</v>
      </c>
      <c r="K27" s="12" t="s">
        <v>35</v>
      </c>
    </row>
    <row r="28" customFormat="false" ht="23.85" hidden="false" customHeight="false" outlineLevel="0" collapsed="false">
      <c r="A28" s="5" t="n">
        <v>27</v>
      </c>
      <c r="B28" s="5" t="s">
        <v>100</v>
      </c>
      <c r="C28" s="5" t="s">
        <v>127</v>
      </c>
      <c r="D28" s="5" t="s">
        <v>128</v>
      </c>
      <c r="E28" s="6" t="n">
        <v>1</v>
      </c>
      <c r="F28" s="7" t="s">
        <v>22</v>
      </c>
      <c r="G28" s="5" t="s">
        <v>129</v>
      </c>
      <c r="H28" s="5" t="s">
        <v>34</v>
      </c>
      <c r="I28" s="11" t="n">
        <v>300</v>
      </c>
      <c r="J28" s="9" t="n">
        <f aca="false">IF(ISNUMBER(I28),E28*I28,0)</f>
        <v>300</v>
      </c>
      <c r="K28" s="12" t="s">
        <v>35</v>
      </c>
    </row>
    <row r="29" customFormat="false" ht="23.85" hidden="false" customHeight="false" outlineLevel="0" collapsed="false">
      <c r="A29" s="5" t="n">
        <v>28</v>
      </c>
      <c r="B29" s="5" t="s">
        <v>130</v>
      </c>
      <c r="C29" s="5" t="s">
        <v>131</v>
      </c>
      <c r="D29" s="5" t="s">
        <v>132</v>
      </c>
      <c r="E29" s="6" t="n">
        <v>1</v>
      </c>
      <c r="F29" s="7" t="s">
        <v>22</v>
      </c>
      <c r="G29" s="5" t="s">
        <v>133</v>
      </c>
      <c r="H29" s="5" t="s">
        <v>134</v>
      </c>
      <c r="I29" s="11" t="n">
        <v>600</v>
      </c>
      <c r="J29" s="9" t="n">
        <f aca="false">IF(ISNUMBER(I29),E29*I29,0)</f>
        <v>600</v>
      </c>
      <c r="K29" s="12" t="s">
        <v>35</v>
      </c>
    </row>
    <row r="30" customFormat="false" ht="23.85" hidden="false" customHeight="false" outlineLevel="0" collapsed="false">
      <c r="A30" s="5" t="n">
        <v>29</v>
      </c>
      <c r="B30" s="5" t="s">
        <v>130</v>
      </c>
      <c r="C30" s="5" t="s">
        <v>135</v>
      </c>
      <c r="D30" s="5" t="s">
        <v>136</v>
      </c>
      <c r="E30" s="6" t="n">
        <v>1</v>
      </c>
      <c r="F30" s="7" t="s">
        <v>22</v>
      </c>
      <c r="G30" s="5" t="s">
        <v>137</v>
      </c>
      <c r="H30" s="5" t="s">
        <v>24</v>
      </c>
      <c r="I30" s="11" t="n">
        <v>1500</v>
      </c>
      <c r="J30" s="9" t="n">
        <f aca="false">IF(ISNUMBER(I30),E30*I30,0)</f>
        <v>1500</v>
      </c>
      <c r="K30" s="12" t="s">
        <v>138</v>
      </c>
    </row>
    <row r="31" customFormat="false" ht="15" hidden="false" customHeight="false" outlineLevel="0" collapsed="false">
      <c r="A31" s="5" t="n">
        <v>30</v>
      </c>
      <c r="B31" s="5" t="s">
        <v>130</v>
      </c>
      <c r="C31" s="5" t="s">
        <v>139</v>
      </c>
      <c r="D31" s="5" t="s">
        <v>140</v>
      </c>
      <c r="E31" s="6" t="n">
        <v>1</v>
      </c>
      <c r="F31" s="7" t="s">
        <v>22</v>
      </c>
      <c r="G31" s="5" t="s">
        <v>141</v>
      </c>
      <c r="H31" s="5" t="s">
        <v>142</v>
      </c>
      <c r="I31" s="11" t="n">
        <v>0</v>
      </c>
      <c r="J31" s="9" t="n">
        <f aca="false">IF(ISNUMBER(I31),E31*I31,0)</f>
        <v>0</v>
      </c>
      <c r="K31" s="12" t="s">
        <v>143</v>
      </c>
    </row>
    <row r="32" customFormat="false" ht="23.85" hidden="false" customHeight="false" outlineLevel="0" collapsed="false">
      <c r="A32" s="5" t="n">
        <v>31</v>
      </c>
      <c r="B32" s="5" t="s">
        <v>130</v>
      </c>
      <c r="C32" s="5" t="s">
        <v>144</v>
      </c>
      <c r="D32" s="5" t="s">
        <v>145</v>
      </c>
      <c r="E32" s="6" t="n">
        <v>1</v>
      </c>
      <c r="F32" s="7" t="s">
        <v>22</v>
      </c>
      <c r="G32" s="5" t="s">
        <v>146</v>
      </c>
      <c r="H32" s="5" t="s">
        <v>24</v>
      </c>
      <c r="I32" s="11" t="n">
        <v>800</v>
      </c>
      <c r="J32" s="9" t="n">
        <f aca="false">IF(ISNUMBER(I32),E32*I32,0)</f>
        <v>800</v>
      </c>
      <c r="K32" s="12" t="s">
        <v>35</v>
      </c>
    </row>
    <row r="33" customFormat="false" ht="23.85" hidden="false" customHeight="false" outlineLevel="0" collapsed="false">
      <c r="A33" s="5" t="n">
        <v>32</v>
      </c>
      <c r="B33" s="5" t="s">
        <v>130</v>
      </c>
      <c r="C33" s="5" t="s">
        <v>147</v>
      </c>
      <c r="D33" s="5" t="s">
        <v>148</v>
      </c>
      <c r="E33" s="6" t="n">
        <v>1</v>
      </c>
      <c r="F33" s="7" t="s">
        <v>22</v>
      </c>
      <c r="G33" s="5" t="s">
        <v>149</v>
      </c>
      <c r="H33" s="5" t="s">
        <v>24</v>
      </c>
      <c r="I33" s="11" t="n">
        <v>200</v>
      </c>
      <c r="J33" s="9" t="n">
        <f aca="false">IF(ISNUMBER(I33),E33*I33,0)</f>
        <v>200</v>
      </c>
      <c r="K33" s="12" t="s">
        <v>35</v>
      </c>
    </row>
    <row r="34" customFormat="false" ht="15" hidden="false" customHeight="false" outlineLevel="0" collapsed="false">
      <c r="A34" s="5" t="n">
        <v>33</v>
      </c>
      <c r="B34" s="5" t="s">
        <v>130</v>
      </c>
      <c r="C34" s="5" t="s">
        <v>150</v>
      </c>
      <c r="D34" s="5" t="s">
        <v>151</v>
      </c>
      <c r="E34" s="6" t="n">
        <v>1</v>
      </c>
      <c r="F34" s="13" t="s">
        <v>84</v>
      </c>
      <c r="G34" s="5" t="s">
        <v>152</v>
      </c>
      <c r="H34" s="5" t="s">
        <v>34</v>
      </c>
      <c r="I34" s="11" t="n">
        <v>150</v>
      </c>
      <c r="J34" s="9" t="n">
        <f aca="false">IF(ISNUMBER(I34),E34*I34,0)</f>
        <v>150</v>
      </c>
      <c r="K34" s="12" t="s">
        <v>35</v>
      </c>
    </row>
    <row r="35" customFormat="false" ht="23.85" hidden="false" customHeight="false" outlineLevel="0" collapsed="false">
      <c r="A35" s="5" t="n">
        <v>34</v>
      </c>
      <c r="B35" s="5" t="s">
        <v>153</v>
      </c>
      <c r="C35" s="5" t="s">
        <v>154</v>
      </c>
      <c r="D35" s="5" t="s">
        <v>155</v>
      </c>
      <c r="E35" s="6" t="n">
        <v>1</v>
      </c>
      <c r="F35" s="7" t="s">
        <v>22</v>
      </c>
      <c r="G35" s="5" t="s">
        <v>156</v>
      </c>
      <c r="H35" s="5" t="s">
        <v>157</v>
      </c>
      <c r="I35" s="11" t="n">
        <v>600</v>
      </c>
      <c r="J35" s="9" t="n">
        <f aca="false">IF(ISNUMBER(I35),E35*I35,0)</f>
        <v>600</v>
      </c>
      <c r="K35" s="12" t="s">
        <v>158</v>
      </c>
    </row>
    <row r="36" customFormat="false" ht="15" hidden="false" customHeight="false" outlineLevel="0" collapsed="false">
      <c r="I36" s="14" t="s">
        <v>159</v>
      </c>
      <c r="J36" s="15" t="n">
        <f aca="false">SUM(J2:J35)</f>
        <v>22550</v>
      </c>
    </row>
  </sheetData>
  <autoFilter ref="A1:K35"/>
  <dataValidations count="1">
    <dataValidation allowBlank="false" errorStyle="stop" operator="between" showDropDown="false" showErrorMessage="false" showInputMessage="false" sqref="F2:F35" type="list">
      <formula1>"P0,P1"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B2:E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70"/>
  </cols>
  <sheetData>
    <row r="2" customFormat="false" ht="17.35" hidden="false" customHeight="false" outlineLevel="0" collapsed="false">
      <c r="B2" s="16" t="s">
        <v>160</v>
      </c>
    </row>
    <row r="3" customFormat="false" ht="15" hidden="false" customHeight="false" outlineLevel="0" collapsed="false">
      <c r="B3" s="17" t="s">
        <v>161</v>
      </c>
    </row>
    <row r="4" customFormat="false" ht="15" hidden="false" customHeight="false" outlineLevel="0" collapsed="false">
      <c r="B4" s="18" t="s">
        <v>162</v>
      </c>
      <c r="C4" s="19"/>
      <c r="D4" s="19"/>
      <c r="E4" s="19"/>
    </row>
    <row r="5" customFormat="false" ht="15" hidden="false" customHeight="false" outlineLevel="0" collapsed="false">
      <c r="B5" s="20" t="s">
        <v>163</v>
      </c>
      <c r="C5" s="21" t="n">
        <v>10</v>
      </c>
      <c r="D5" s="22" t="s">
        <v>164</v>
      </c>
      <c r="E5" s="23" t="s">
        <v>165</v>
      </c>
    </row>
    <row r="6" customFormat="false" ht="15" hidden="false" customHeight="false" outlineLevel="0" collapsed="false">
      <c r="B6" s="20" t="s">
        <v>166</v>
      </c>
      <c r="C6" s="21" t="n">
        <v>1</v>
      </c>
      <c r="D6" s="22"/>
      <c r="E6" s="23" t="s">
        <v>167</v>
      </c>
    </row>
    <row r="7" customFormat="false" ht="15" hidden="false" customHeight="false" outlineLevel="0" collapsed="false">
      <c r="B7" s="20" t="s">
        <v>168</v>
      </c>
      <c r="C7" s="21" t="n">
        <v>0.3</v>
      </c>
      <c r="D7" s="22"/>
      <c r="E7" s="23" t="s">
        <v>169</v>
      </c>
    </row>
    <row r="8" customFormat="false" ht="15" hidden="false" customHeight="false" outlineLevel="0" collapsed="false">
      <c r="B8" s="20" t="s">
        <v>170</v>
      </c>
      <c r="C8" s="21" t="n">
        <v>0.08</v>
      </c>
      <c r="D8" s="22"/>
      <c r="E8" s="23" t="s">
        <v>171</v>
      </c>
    </row>
    <row r="9" customFormat="false" ht="15" hidden="false" customHeight="false" outlineLevel="0" collapsed="false">
      <c r="B9" s="20" t="s">
        <v>172</v>
      </c>
      <c r="C9" s="21" t="n">
        <v>2</v>
      </c>
      <c r="D9" s="22" t="s">
        <v>173</v>
      </c>
      <c r="E9" s="23"/>
    </row>
    <row r="10" customFormat="false" ht="15" hidden="false" customHeight="false" outlineLevel="0" collapsed="false">
      <c r="B10" s="20" t="s">
        <v>174</v>
      </c>
      <c r="C10" s="21" t="n">
        <v>0.2</v>
      </c>
      <c r="D10" s="22" t="s">
        <v>175</v>
      </c>
      <c r="E10" s="23" t="s">
        <v>176</v>
      </c>
    </row>
    <row r="11" customFormat="false" ht="15" hidden="false" customHeight="false" outlineLevel="0" collapsed="false">
      <c r="B11" s="20" t="s">
        <v>177</v>
      </c>
      <c r="C11" s="21" t="n">
        <v>0.03</v>
      </c>
      <c r="D11" s="22" t="s">
        <v>178</v>
      </c>
      <c r="E11" s="23" t="s">
        <v>179</v>
      </c>
    </row>
    <row r="12" customFormat="false" ht="15" hidden="false" customHeight="false" outlineLevel="0" collapsed="false">
      <c r="B12" s="20" t="s">
        <v>180</v>
      </c>
      <c r="C12" s="21" t="n">
        <v>120</v>
      </c>
      <c r="D12" s="22" t="s">
        <v>181</v>
      </c>
      <c r="E12" s="23" t="s">
        <v>182</v>
      </c>
    </row>
    <row r="13" customFormat="false" ht="15" hidden="false" customHeight="false" outlineLevel="0" collapsed="false">
      <c r="B13" s="20" t="s">
        <v>183</v>
      </c>
      <c r="C13" s="21" t="n">
        <v>0.5</v>
      </c>
      <c r="D13" s="22"/>
      <c r="E13" s="23" t="s">
        <v>184</v>
      </c>
    </row>
    <row r="14" customFormat="false" ht="15" hidden="false" customHeight="false" outlineLevel="0" collapsed="false">
      <c r="B14" s="20" t="s">
        <v>185</v>
      </c>
      <c r="C14" s="21" t="n">
        <v>0.45</v>
      </c>
      <c r="D14" s="22" t="s">
        <v>178</v>
      </c>
      <c r="E14" s="23"/>
    </row>
    <row r="15" customFormat="false" ht="15" hidden="false" customHeight="false" outlineLevel="0" collapsed="false">
      <c r="B15" s="20" t="s">
        <v>186</v>
      </c>
      <c r="C15" s="21" t="n">
        <v>30</v>
      </c>
      <c r="D15" s="22" t="s">
        <v>173</v>
      </c>
      <c r="E15" s="23" t="s">
        <v>187</v>
      </c>
    </row>
    <row r="16" customFormat="false" ht="15" hidden="false" customHeight="false" outlineLevel="0" collapsed="false">
      <c r="B16" s="20" t="s">
        <v>188</v>
      </c>
      <c r="C16" s="21" t="n">
        <v>1.5</v>
      </c>
      <c r="D16" s="22"/>
      <c r="E16" s="23" t="s">
        <v>189</v>
      </c>
    </row>
    <row r="17" customFormat="false" ht="15" hidden="false" customHeight="false" outlineLevel="0" collapsed="false">
      <c r="B17" s="20" t="s">
        <v>190</v>
      </c>
      <c r="C17" s="21" t="n">
        <v>1.5</v>
      </c>
      <c r="D17" s="22" t="s">
        <v>191</v>
      </c>
      <c r="E17" s="23"/>
    </row>
    <row r="18" customFormat="false" ht="15" hidden="false" customHeight="false" outlineLevel="0" collapsed="false">
      <c r="B18" s="20" t="s">
        <v>192</v>
      </c>
      <c r="C18" s="21" t="n">
        <v>0.1</v>
      </c>
      <c r="D18" s="22" t="s">
        <v>178</v>
      </c>
      <c r="E18" s="23"/>
    </row>
    <row r="19" customFormat="false" ht="15" hidden="false" customHeight="false" outlineLevel="0" collapsed="false">
      <c r="B19" s="20" t="s">
        <v>193</v>
      </c>
      <c r="C19" s="21" t="n">
        <v>4</v>
      </c>
      <c r="D19" s="22" t="s">
        <v>194</v>
      </c>
      <c r="E19" s="23"/>
    </row>
    <row r="20" customFormat="false" ht="15" hidden="false" customHeight="false" outlineLevel="0" collapsed="false">
      <c r="B20" s="20" t="s">
        <v>195</v>
      </c>
      <c r="C20" s="21" t="n">
        <v>0.9</v>
      </c>
      <c r="D20" s="22"/>
      <c r="E20" s="23" t="s">
        <v>196</v>
      </c>
    </row>
    <row r="21" customFormat="false" ht="15" hidden="false" customHeight="false" outlineLevel="0" collapsed="false">
      <c r="B21" s="20" t="s">
        <v>197</v>
      </c>
      <c r="C21" s="21" t="n">
        <v>5</v>
      </c>
      <c r="D21" s="22" t="s">
        <v>198</v>
      </c>
      <c r="E21" s="23" t="s">
        <v>199</v>
      </c>
    </row>
    <row r="22" customFormat="false" ht="15" hidden="false" customHeight="false" outlineLevel="0" collapsed="false">
      <c r="B22" s="20" t="s">
        <v>200</v>
      </c>
      <c r="C22" s="21" t="n">
        <v>70</v>
      </c>
      <c r="D22" s="22" t="s">
        <v>201</v>
      </c>
      <c r="E22" s="23" t="s">
        <v>202</v>
      </c>
    </row>
    <row r="23" customFormat="false" ht="15" hidden="false" customHeight="false" outlineLevel="0" collapsed="false">
      <c r="B23" s="20" t="s">
        <v>203</v>
      </c>
      <c r="C23" s="21" t="n">
        <v>0.28</v>
      </c>
      <c r="D23" s="22" t="s">
        <v>178</v>
      </c>
      <c r="E23" s="23" t="s">
        <v>204</v>
      </c>
    </row>
    <row r="24" customFormat="false" ht="15" hidden="false" customHeight="false" outlineLevel="0" collapsed="false">
      <c r="B24" s="20" t="s">
        <v>205</v>
      </c>
      <c r="C24" s="21" t="n">
        <v>0.2</v>
      </c>
      <c r="D24" s="22" t="s">
        <v>178</v>
      </c>
      <c r="E24" s="23" t="s">
        <v>206</v>
      </c>
    </row>
    <row r="25" customFormat="false" ht="15" hidden="false" customHeight="false" outlineLevel="0" collapsed="false">
      <c r="B25" s="20" t="s">
        <v>207</v>
      </c>
      <c r="C25" s="21" t="n">
        <v>0.3</v>
      </c>
      <c r="D25" s="22"/>
      <c r="E25" s="23" t="s">
        <v>208</v>
      </c>
    </row>
    <row r="27" customFormat="false" ht="15" hidden="false" customHeight="false" outlineLevel="0" collapsed="false">
      <c r="B27" s="18" t="s">
        <v>209</v>
      </c>
      <c r="C27" s="19"/>
      <c r="D27" s="19"/>
      <c r="E27" s="19"/>
    </row>
    <row r="28" customFormat="false" ht="15" hidden="false" customHeight="false" outlineLevel="0" collapsed="false">
      <c r="B28" s="20" t="s">
        <v>210</v>
      </c>
      <c r="C28" s="24" t="n">
        <f aca="false">C7*C5*9.81*C6*COS(RADIANS(C9))</f>
        <v>29.412072039172</v>
      </c>
      <c r="D28" s="22" t="s">
        <v>211</v>
      </c>
      <c r="E28" s="23" t="s">
        <v>212</v>
      </c>
    </row>
    <row r="29" customFormat="false" ht="15" hidden="false" customHeight="false" outlineLevel="0" collapsed="false">
      <c r="B29" s="20" t="s">
        <v>213</v>
      </c>
      <c r="C29" s="24" t="n">
        <f aca="false">C12*C11*C14*COS(RADIANS(C15))</f>
        <v>1.40296115413079</v>
      </c>
      <c r="D29" s="22" t="s">
        <v>214</v>
      </c>
      <c r="E29" s="23"/>
    </row>
    <row r="30" customFormat="false" ht="15" hidden="false" customHeight="false" outlineLevel="0" collapsed="false">
      <c r="B30" s="20" t="s">
        <v>215</v>
      </c>
      <c r="C30" s="24" t="n">
        <f aca="false">C29*C14/(2*SIN(RADIANS(C15)))*C16</f>
        <v>0.946998779038284</v>
      </c>
      <c r="D30" s="22" t="s">
        <v>164</v>
      </c>
      <c r="E30" s="23" t="s">
        <v>216</v>
      </c>
    </row>
    <row r="31" customFormat="false" ht="15" hidden="false" customHeight="false" outlineLevel="0" collapsed="false">
      <c r="B31" s="20" t="s">
        <v>217</v>
      </c>
      <c r="C31" s="24" t="n">
        <f aca="false">C8*C5*9.81*COS(RADIANS(C9))</f>
        <v>7.84321921044587</v>
      </c>
      <c r="D31" s="22" t="s">
        <v>211</v>
      </c>
      <c r="E31" s="23"/>
    </row>
    <row r="32" customFormat="false" ht="15" hidden="false" customHeight="false" outlineLevel="0" collapsed="false">
      <c r="B32" s="20" t="s">
        <v>218</v>
      </c>
      <c r="C32" s="24" t="n">
        <f aca="false">C5*9.81*SIN(RADIANS(C9))</f>
        <v>3.42364062651535</v>
      </c>
      <c r="D32" s="22" t="s">
        <v>211</v>
      </c>
      <c r="E32" s="23"/>
    </row>
    <row r="33" customFormat="false" ht="15" hidden="false" customHeight="false" outlineLevel="0" collapsed="false">
      <c r="B33" s="20" t="s">
        <v>219</v>
      </c>
      <c r="C33" s="24" t="n">
        <f aca="false">C5*C10</f>
        <v>2</v>
      </c>
      <c r="D33" s="22" t="s">
        <v>211</v>
      </c>
      <c r="E33" s="23"/>
    </row>
    <row r="34" customFormat="false" ht="15" hidden="false" customHeight="false" outlineLevel="0" collapsed="false">
      <c r="B34" s="20" t="s">
        <v>220</v>
      </c>
      <c r="C34" s="24" t="n">
        <f aca="false">C13*C30*9.81</f>
        <v>4.64502901118278</v>
      </c>
      <c r="D34" s="22" t="s">
        <v>211</v>
      </c>
      <c r="E34" s="23"/>
    </row>
    <row r="35" customFormat="false" ht="15" hidden="false" customHeight="false" outlineLevel="0" collapsed="false">
      <c r="B35" s="20" t="s">
        <v>221</v>
      </c>
      <c r="C35" s="24" t="n">
        <f aca="false">SUM(C31:C34)</f>
        <v>17.911888848144</v>
      </c>
      <c r="D35" s="22" t="s">
        <v>211</v>
      </c>
      <c r="E35" s="23"/>
    </row>
    <row r="36" customFormat="false" ht="15" hidden="false" customHeight="false" outlineLevel="0" collapsed="false">
      <c r="B36" s="20" t="s">
        <v>222</v>
      </c>
      <c r="C36" s="24" t="n">
        <f aca="false">C35*C17</f>
        <v>26.867833272216</v>
      </c>
      <c r="D36" s="22" t="s">
        <v>211</v>
      </c>
      <c r="E36" s="23"/>
    </row>
    <row r="37" customFormat="false" ht="15" hidden="false" customHeight="false" outlineLevel="0" collapsed="false">
      <c r="B37" s="20" t="s">
        <v>223</v>
      </c>
      <c r="C37" s="24" t="n">
        <f aca="false">C28-C36</f>
        <v>2.544238766956</v>
      </c>
      <c r="D37" s="22" t="s">
        <v>211</v>
      </c>
      <c r="E37" s="23" t="s">
        <v>224</v>
      </c>
    </row>
    <row r="38" customFormat="false" ht="15" hidden="false" customHeight="false" outlineLevel="0" collapsed="false">
      <c r="B38" s="20" t="s">
        <v>225</v>
      </c>
      <c r="C38" s="24" t="str">
        <f aca="false">IF(C37&gt;=0,"тяги хватает","колёса будут буксовать — нужна масса/4×4/меньше снега")</f>
        <v>тяги хватает</v>
      </c>
      <c r="D38" s="22"/>
      <c r="E38" s="23"/>
    </row>
    <row r="39" customFormat="false" ht="15" hidden="false" customHeight="false" outlineLevel="0" collapsed="false">
      <c r="B39" s="20" t="s">
        <v>226</v>
      </c>
      <c r="C39" s="24" t="n">
        <f aca="false">C28/(C13*C12*C11*C14*9.81)</f>
        <v>3.70144750747813</v>
      </c>
      <c r="D39" s="22" t="s">
        <v>178</v>
      </c>
      <c r="E39" s="23" t="s">
        <v>227</v>
      </c>
    </row>
    <row r="41" customFormat="false" ht="15" hidden="false" customHeight="false" outlineLevel="0" collapsed="false">
      <c r="B41" s="18" t="s">
        <v>228</v>
      </c>
      <c r="C41" s="19"/>
      <c r="D41" s="19"/>
      <c r="E41" s="19"/>
    </row>
    <row r="42" customFormat="false" ht="15" hidden="false" customHeight="false" outlineLevel="0" collapsed="false">
      <c r="B42" s="20" t="s">
        <v>229</v>
      </c>
      <c r="C42" s="24" t="n">
        <f aca="false">C35*(C18/2)/(C19*C20)*100/9.81</f>
        <v>2.53594530073394</v>
      </c>
      <c r="D42" s="22" t="s">
        <v>198</v>
      </c>
      <c r="E42" s="23"/>
    </row>
    <row r="43" customFormat="false" ht="15" hidden="false" customHeight="false" outlineLevel="0" collapsed="false">
      <c r="B43" s="20" t="s">
        <v>230</v>
      </c>
      <c r="C43" s="25" t="n">
        <f aca="false">C42/C21</f>
        <v>0.507189060146789</v>
      </c>
      <c r="D43" s="22"/>
      <c r="E43" s="23" t="s">
        <v>231</v>
      </c>
    </row>
    <row r="44" customFormat="false" ht="15" hidden="false" customHeight="false" outlineLevel="0" collapsed="false">
      <c r="B44" s="20" t="s">
        <v>232</v>
      </c>
      <c r="C44" s="24" t="n">
        <f aca="false">MAX(0,C22*(1-C43))/60*PI()*C18</f>
        <v>0.180624643296012</v>
      </c>
      <c r="D44" s="22" t="s">
        <v>233</v>
      </c>
      <c r="E44" s="23" t="s">
        <v>234</v>
      </c>
    </row>
    <row r="45" customFormat="false" ht="15" hidden="false" customHeight="false" outlineLevel="0" collapsed="false">
      <c r="B45" s="20" t="s">
        <v>235</v>
      </c>
      <c r="C45" s="24" t="n">
        <f aca="false">C28*(C18/2)/(C19*C20)*100/9.81</f>
        <v>4.1641284459129</v>
      </c>
      <c r="D45" s="22" t="s">
        <v>198</v>
      </c>
      <c r="E45" s="23" t="s">
        <v>236</v>
      </c>
    </row>
    <row r="46" customFormat="false" ht="15" hidden="false" customHeight="false" outlineLevel="0" collapsed="false">
      <c r="B46" s="20" t="s">
        <v>237</v>
      </c>
      <c r="C46" s="24" t="n">
        <f aca="false">C25*C5*9.81*C24/(2*C23)</f>
        <v>10.5107142857143</v>
      </c>
      <c r="D46" s="22" t="s">
        <v>211</v>
      </c>
      <c r="E46" s="23"/>
    </row>
    <row r="47" customFormat="false" ht="15" hidden="false" customHeight="false" outlineLevel="0" collapsed="false">
      <c r="B47" s="20" t="s">
        <v>238</v>
      </c>
      <c r="C47" s="24" t="n">
        <f aca="false">C46*(C18/2)/(C19/2)/C20*100/9.81</f>
        <v>2.97619047619048</v>
      </c>
      <c r="D47" s="22" t="s">
        <v>198</v>
      </c>
      <c r="E47" s="23" t="s">
        <v>239</v>
      </c>
    </row>
    <row r="48" customFormat="false" ht="15" hidden="false" customHeight="false" outlineLevel="0" collapsed="false">
      <c r="B48" s="20" t="s">
        <v>240</v>
      </c>
      <c r="C48" s="24" t="n">
        <f aca="false">0.25/(PI()*C18)*60</f>
        <v>47.7464829275686</v>
      </c>
      <c r="D48" s="22" t="s">
        <v>201</v>
      </c>
      <c r="E48" s="23"/>
    </row>
    <row r="50" customFormat="false" ht="15" hidden="false" customHeight="false" outlineLevel="0" collapsed="false">
      <c r="B50" s="18" t="s">
        <v>241</v>
      </c>
      <c r="C50" s="19"/>
      <c r="D50" s="19"/>
      <c r="E50" s="19"/>
    </row>
    <row r="51" customFormat="false" ht="15" hidden="false" customHeight="false" outlineLevel="0" collapsed="false">
      <c r="B51" s="20" t="s">
        <v>242</v>
      </c>
      <c r="C51" s="21" t="n">
        <v>3.4</v>
      </c>
      <c r="D51" s="22" t="s">
        <v>243</v>
      </c>
      <c r="E51" s="23"/>
    </row>
    <row r="52" customFormat="false" ht="15" hidden="false" customHeight="false" outlineLevel="0" collapsed="false">
      <c r="B52" s="20" t="s">
        <v>244</v>
      </c>
      <c r="C52" s="21" t="n">
        <v>4</v>
      </c>
      <c r="D52" s="22"/>
      <c r="E52" s="23"/>
    </row>
    <row r="53" customFormat="false" ht="15" hidden="false" customHeight="false" outlineLevel="0" collapsed="false">
      <c r="B53" s="20" t="s">
        <v>245</v>
      </c>
      <c r="C53" s="21" t="n">
        <v>1</v>
      </c>
      <c r="D53" s="22"/>
      <c r="E53" s="23"/>
    </row>
    <row r="54" customFormat="false" ht="15" hidden="false" customHeight="false" outlineLevel="0" collapsed="false">
      <c r="B54" s="20" t="s">
        <v>246</v>
      </c>
      <c r="C54" s="21" t="n">
        <v>3.6</v>
      </c>
      <c r="D54" s="22" t="s">
        <v>247</v>
      </c>
      <c r="E54" s="23" t="s">
        <v>248</v>
      </c>
    </row>
    <row r="55" customFormat="false" ht="15" hidden="false" customHeight="false" outlineLevel="0" collapsed="false">
      <c r="B55" s="20" t="s">
        <v>249</v>
      </c>
      <c r="C55" s="21" t="n">
        <v>0.8</v>
      </c>
      <c r="D55" s="22"/>
      <c r="E55" s="23"/>
    </row>
    <row r="56" customFormat="false" ht="15" hidden="false" customHeight="false" outlineLevel="0" collapsed="false">
      <c r="B56" s="20" t="s">
        <v>250</v>
      </c>
      <c r="C56" s="21" t="n">
        <v>0.7</v>
      </c>
      <c r="D56" s="22"/>
      <c r="E56" s="23" t="s">
        <v>251</v>
      </c>
    </row>
    <row r="57" customFormat="false" ht="15" hidden="false" customHeight="false" outlineLevel="0" collapsed="false">
      <c r="B57" s="20" t="s">
        <v>252</v>
      </c>
      <c r="C57" s="21" t="n">
        <v>6.7</v>
      </c>
      <c r="D57" s="22" t="s">
        <v>253</v>
      </c>
      <c r="E57" s="23" t="s">
        <v>254</v>
      </c>
    </row>
    <row r="58" customFormat="false" ht="15" hidden="false" customHeight="false" outlineLevel="0" collapsed="false">
      <c r="B58" s="20" t="s">
        <v>255</v>
      </c>
      <c r="C58" s="21" t="n">
        <v>0.45</v>
      </c>
      <c r="D58" s="22"/>
      <c r="E58" s="23"/>
    </row>
    <row r="59" customFormat="false" ht="15" hidden="false" customHeight="false" outlineLevel="0" collapsed="false">
      <c r="B59" s="20" t="s">
        <v>256</v>
      </c>
      <c r="C59" s="21" t="n">
        <v>0.25</v>
      </c>
      <c r="D59" s="22" t="s">
        <v>233</v>
      </c>
      <c r="E59" s="23"/>
    </row>
    <row r="60" customFormat="false" ht="15" hidden="false" customHeight="false" outlineLevel="0" collapsed="false">
      <c r="B60" s="20" t="s">
        <v>257</v>
      </c>
      <c r="C60" s="24" t="n">
        <f aca="false">C51*C52*C53*C54</f>
        <v>48.96</v>
      </c>
      <c r="D60" s="22" t="s">
        <v>258</v>
      </c>
      <c r="E60" s="23"/>
    </row>
    <row r="61" customFormat="false" ht="15" hidden="false" customHeight="false" outlineLevel="0" collapsed="false">
      <c r="B61" s="20" t="s">
        <v>259</v>
      </c>
      <c r="C61" s="24" t="n">
        <f aca="false">C35*C59/C58+C19*0.12*12*0.3</f>
        <v>11.67904936008</v>
      </c>
      <c r="D61" s="22" t="s">
        <v>253</v>
      </c>
      <c r="E61" s="23" t="s">
        <v>260</v>
      </c>
    </row>
    <row r="62" customFormat="false" ht="15" hidden="false" customHeight="false" outlineLevel="0" collapsed="false">
      <c r="B62" s="20" t="s">
        <v>261</v>
      </c>
      <c r="C62" s="24" t="n">
        <f aca="false">C61+C57</f>
        <v>18.37904936008</v>
      </c>
      <c r="D62" s="22" t="s">
        <v>253</v>
      </c>
      <c r="E62" s="23"/>
    </row>
    <row r="63" customFormat="false" ht="15" hidden="false" customHeight="false" outlineLevel="0" collapsed="false">
      <c r="B63" s="20" t="s">
        <v>262</v>
      </c>
      <c r="C63" s="24" t="n">
        <f aca="false">C60*C55/C62</f>
        <v>2.13112219422373</v>
      </c>
      <c r="D63" s="22" t="s">
        <v>263</v>
      </c>
      <c r="E63" s="23"/>
    </row>
    <row r="64" customFormat="false" ht="15" hidden="false" customHeight="false" outlineLevel="0" collapsed="false">
      <c r="B64" s="20" t="s">
        <v>264</v>
      </c>
      <c r="C64" s="24" t="n">
        <f aca="false">C60*C55*C56/C62</f>
        <v>1.49178553595661</v>
      </c>
      <c r="D64" s="22" t="s">
        <v>263</v>
      </c>
      <c r="E64" s="23"/>
    </row>
    <row r="65" customFormat="false" ht="15" hidden="false" customHeight="false" outlineLevel="0" collapsed="false">
      <c r="B65" s="20" t="s">
        <v>265</v>
      </c>
      <c r="C65" s="24" t="n">
        <f aca="false">C19*1.2+C57/(C52*3.2)</f>
        <v>5.3234375</v>
      </c>
      <c r="D65" s="22" t="s">
        <v>266</v>
      </c>
      <c r="E65" s="23" t="s">
        <v>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B2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50"/>
  </cols>
  <sheetData>
    <row r="2" customFormat="false" ht="17.35" hidden="false" customHeight="false" outlineLevel="0" collapsed="false">
      <c r="B2" s="16" t="s">
        <v>268</v>
      </c>
    </row>
    <row r="4" customFormat="false" ht="15" hidden="false" customHeight="false" outlineLevel="0" collapsed="false">
      <c r="B4" s="20" t="s">
        <v>269</v>
      </c>
      <c r="C4" s="26" t="n">
        <f aca="false">COUNTIF(Комплектующие!$F$2:$F$35,"P0")</f>
        <v>32</v>
      </c>
    </row>
    <row r="5" customFormat="false" ht="15" hidden="false" customHeight="false" outlineLevel="0" collapsed="false">
      <c r="B5" s="20" t="s">
        <v>270</v>
      </c>
      <c r="C5" s="26" t="n">
        <f aca="false">COUNTIF(Комплектующие!$F$2:$F$35,"P1")</f>
        <v>2</v>
      </c>
    </row>
    <row r="6" customFormat="false" ht="15" hidden="false" customHeight="false" outlineLevel="0" collapsed="false">
      <c r="B6" s="20" t="s">
        <v>271</v>
      </c>
      <c r="C6" s="27" t="n">
        <f aca="false">SUMIFS(Комплектующие!$J$2:$J$35,Комплектующие!$F$2:$F$35,"P0",Комплектующие!$K$2:$K$35,"найдено*")</f>
        <v>13250</v>
      </c>
      <c r="D6" s="28" t="s">
        <v>272</v>
      </c>
    </row>
    <row r="7" customFormat="false" ht="15" hidden="false" customHeight="false" outlineLevel="0" collapsed="false">
      <c r="B7" s="20" t="s">
        <v>273</v>
      </c>
      <c r="C7" s="27" t="n">
        <f aca="false">SUMIFS(Комплектующие!$J$2:$J$35,Комплектующие!$F$2:$F$35,"P0")</f>
        <v>21800</v>
      </c>
    </row>
    <row r="8" customFormat="false" ht="15" hidden="false" customHeight="false" outlineLevel="0" collapsed="false">
      <c r="B8" s="20" t="s">
        <v>274</v>
      </c>
      <c r="C8" s="27" t="n">
        <f aca="false">SUMIFS(Комплектующие!$J$2:$J$35,Комплектующие!$F$2:$F$35,"P1")</f>
        <v>750</v>
      </c>
    </row>
    <row r="9" customFormat="false" ht="15" hidden="false" customHeight="false" outlineLevel="0" collapsed="false">
      <c r="B9" s="20" t="s">
        <v>275</v>
      </c>
      <c r="C9" s="29" t="n">
        <v>0.1</v>
      </c>
      <c r="D9" s="28" t="s">
        <v>276</v>
      </c>
    </row>
    <row r="10" customFormat="false" ht="15" hidden="false" customHeight="false" outlineLevel="0" collapsed="false">
      <c r="B10" s="14" t="s">
        <v>277</v>
      </c>
      <c r="C10" s="30" t="n">
        <f aca="false">C7*(1+C9)</f>
        <v>23980</v>
      </c>
    </row>
    <row r="11" customFormat="false" ht="15" hidden="false" customHeight="false" outlineLevel="0" collapsed="false">
      <c r="B11" s="20" t="s">
        <v>278</v>
      </c>
      <c r="C11" s="31" t="n">
        <v>28000</v>
      </c>
      <c r="D11" s="28" t="s">
        <v>279</v>
      </c>
    </row>
    <row r="12" customFormat="false" ht="15" hidden="false" customHeight="false" outlineLevel="0" collapsed="false">
      <c r="B12" s="14" t="s">
        <v>280</v>
      </c>
      <c r="C12" s="30" t="n">
        <f aca="false">C11-C10</f>
        <v>4020</v>
      </c>
    </row>
    <row r="13" customFormat="false" ht="15" hidden="false" customHeight="false" outlineLevel="0" collapsed="false">
      <c r="B13" s="14" t="s">
        <v>281</v>
      </c>
      <c r="C13" s="30" t="n">
        <f aca="false">C10/6</f>
        <v>3996.66666666667</v>
      </c>
    </row>
    <row r="15" customFormat="false" ht="15" hidden="false" customHeight="false" outlineLevel="0" collapsed="false">
      <c r="B15" s="28" t="s">
        <v>282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2026-10-14T19:20:05Z</dcterms:created>
  <dc:creator>openpyxl</dc:creator>
  <dc:description/>
  <dc:language>en-US</dc:language>
  <cp:lastModifiedBy/>
  <dcterms:modified xsi:type="dcterms:W3CDTF">2026-10-14T19:20:05Z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